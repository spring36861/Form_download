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60" windowWidth="20475" windowHeight="8730"/>
  </bookViews>
  <sheets>
    <sheet name="新式檢核" sheetId="1" r:id="rId1"/>
  </sheets>
  <calcPr calcId="145621"/>
</workbook>
</file>

<file path=xl/calcChain.xml><?xml version="1.0" encoding="utf-8"?>
<calcChain xmlns="http://schemas.openxmlformats.org/spreadsheetml/2006/main">
  <c r="K11" i="1" l="1"/>
  <c r="K12" i="1"/>
  <c r="K13" i="1"/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9" i="1"/>
  <c r="F9" i="1" l="1"/>
  <c r="G9" i="1"/>
  <c r="H9" i="1"/>
  <c r="J9" i="1"/>
  <c r="K9" i="1"/>
  <c r="F10" i="1"/>
  <c r="G10" i="1"/>
  <c r="H10" i="1" s="1"/>
  <c r="J10" i="1"/>
  <c r="K10" i="1"/>
  <c r="F11" i="1"/>
  <c r="G11" i="1"/>
  <c r="H11" i="1"/>
  <c r="J11" i="1"/>
  <c r="F12" i="1"/>
  <c r="G12" i="1"/>
  <c r="H12" i="1"/>
  <c r="J12" i="1"/>
  <c r="F13" i="1"/>
  <c r="G13" i="1"/>
  <c r="H13" i="1"/>
  <c r="J13" i="1"/>
  <c r="F14" i="1"/>
  <c r="G14" i="1"/>
  <c r="H14" i="1" s="1"/>
  <c r="J14" i="1"/>
  <c r="K14" i="1"/>
  <c r="F15" i="1"/>
  <c r="G15" i="1"/>
  <c r="H15" i="1"/>
  <c r="J15" i="1"/>
  <c r="K15" i="1" s="1"/>
  <c r="F16" i="1"/>
  <c r="G16" i="1"/>
  <c r="H16" i="1"/>
  <c r="J16" i="1"/>
  <c r="K16" i="1"/>
  <c r="F17" i="1"/>
  <c r="G17" i="1"/>
  <c r="H17" i="1"/>
  <c r="J17" i="1"/>
  <c r="K17" i="1"/>
  <c r="F18" i="1"/>
  <c r="G18" i="1"/>
  <c r="H18" i="1" s="1"/>
  <c r="J18" i="1"/>
  <c r="K18" i="1"/>
  <c r="F19" i="1"/>
  <c r="G19" i="1"/>
  <c r="H19" i="1"/>
  <c r="J19" i="1"/>
  <c r="K19" i="1" s="1"/>
  <c r="F20" i="1"/>
  <c r="G20" i="1"/>
  <c r="H20" i="1"/>
  <c r="J20" i="1"/>
  <c r="K20" i="1"/>
  <c r="F21" i="1"/>
  <c r="G21" i="1"/>
  <c r="H21" i="1"/>
  <c r="J21" i="1"/>
  <c r="K21" i="1"/>
  <c r="F22" i="1"/>
  <c r="G22" i="1"/>
  <c r="H22" i="1" s="1"/>
  <c r="J22" i="1"/>
  <c r="K22" i="1" s="1"/>
  <c r="F23" i="1"/>
  <c r="G23" i="1"/>
  <c r="H23" i="1"/>
  <c r="J23" i="1"/>
  <c r="K23" i="1" s="1"/>
  <c r="F24" i="1"/>
  <c r="G24" i="1"/>
  <c r="H24" i="1"/>
  <c r="J24" i="1"/>
  <c r="K24" i="1"/>
  <c r="F25" i="1"/>
  <c r="G25" i="1"/>
  <c r="H25" i="1"/>
  <c r="J25" i="1"/>
  <c r="K25" i="1"/>
  <c r="F26" i="1"/>
  <c r="G26" i="1"/>
  <c r="H26" i="1" s="1"/>
  <c r="J26" i="1"/>
  <c r="K26" i="1"/>
  <c r="F27" i="1"/>
  <c r="G27" i="1"/>
  <c r="H27" i="1"/>
  <c r="J27" i="1"/>
  <c r="K27" i="1" s="1"/>
  <c r="F28" i="1"/>
  <c r="G28" i="1"/>
  <c r="H28" i="1"/>
  <c r="J28" i="1"/>
  <c r="K28" i="1"/>
  <c r="F29" i="1"/>
  <c r="G29" i="1"/>
  <c r="H29" i="1"/>
  <c r="J29" i="1"/>
  <c r="K29" i="1" s="1"/>
  <c r="F30" i="1"/>
  <c r="G30" i="1"/>
  <c r="H30" i="1" s="1"/>
  <c r="J30" i="1"/>
  <c r="K30" i="1"/>
  <c r="F31" i="1"/>
  <c r="G31" i="1"/>
  <c r="H31" i="1"/>
  <c r="J31" i="1"/>
  <c r="K31" i="1" s="1"/>
  <c r="F32" i="1"/>
  <c r="G32" i="1"/>
  <c r="H32" i="1"/>
  <c r="J32" i="1"/>
  <c r="K32" i="1"/>
  <c r="F33" i="1"/>
  <c r="G33" i="1"/>
  <c r="H33" i="1"/>
  <c r="J33" i="1"/>
  <c r="K33" i="1"/>
  <c r="F34" i="1"/>
  <c r="G34" i="1"/>
  <c r="H34" i="1" s="1"/>
  <c r="J34" i="1"/>
  <c r="K34" i="1"/>
  <c r="F35" i="1"/>
  <c r="G35" i="1"/>
  <c r="H35" i="1"/>
  <c r="J35" i="1"/>
  <c r="K35" i="1" s="1"/>
  <c r="F36" i="1"/>
  <c r="G36" i="1"/>
  <c r="H36" i="1"/>
  <c r="J36" i="1"/>
  <c r="K36" i="1"/>
  <c r="F37" i="1"/>
  <c r="G37" i="1"/>
  <c r="H37" i="1"/>
  <c r="J37" i="1"/>
  <c r="K37" i="1"/>
  <c r="F38" i="1"/>
  <c r="G38" i="1"/>
  <c r="H38" i="1" s="1"/>
  <c r="J38" i="1"/>
  <c r="K38" i="1" s="1"/>
  <c r="F39" i="1"/>
  <c r="G39" i="1"/>
  <c r="H39" i="1"/>
  <c r="J39" i="1"/>
  <c r="K39" i="1" s="1"/>
  <c r="F40" i="1"/>
  <c r="G40" i="1"/>
  <c r="H40" i="1"/>
  <c r="J40" i="1"/>
  <c r="K40" i="1"/>
  <c r="F41" i="1"/>
  <c r="G41" i="1"/>
  <c r="H41" i="1"/>
  <c r="J41" i="1"/>
  <c r="K41" i="1"/>
  <c r="F42" i="1"/>
  <c r="G42" i="1"/>
  <c r="H42" i="1" s="1"/>
  <c r="J42" i="1"/>
  <c r="K42" i="1"/>
  <c r="F43" i="1"/>
  <c r="G43" i="1"/>
  <c r="H43" i="1"/>
  <c r="J43" i="1"/>
  <c r="K43" i="1" s="1"/>
  <c r="F44" i="1"/>
  <c r="G44" i="1"/>
  <c r="H44" i="1"/>
  <c r="J44" i="1"/>
  <c r="K44" i="1"/>
  <c r="F45" i="1"/>
  <c r="G45" i="1"/>
  <c r="H45" i="1"/>
  <c r="J45" i="1"/>
  <c r="K45" i="1" s="1"/>
  <c r="F46" i="1"/>
  <c r="G46" i="1"/>
  <c r="H46" i="1" s="1"/>
  <c r="J46" i="1"/>
  <c r="K46" i="1"/>
  <c r="F47" i="1"/>
  <c r="G47" i="1"/>
  <c r="H47" i="1"/>
  <c r="J47" i="1"/>
  <c r="K47" i="1" s="1"/>
  <c r="F48" i="1"/>
  <c r="G48" i="1"/>
  <c r="H48" i="1"/>
  <c r="J48" i="1"/>
  <c r="K48" i="1"/>
  <c r="F49" i="1"/>
  <c r="G49" i="1"/>
  <c r="H49" i="1"/>
  <c r="J49" i="1"/>
  <c r="K49" i="1"/>
  <c r="F50" i="1"/>
  <c r="G50" i="1"/>
  <c r="H50" i="1" s="1"/>
  <c r="J50" i="1"/>
  <c r="K50" i="1"/>
  <c r="F51" i="1"/>
  <c r="G51" i="1"/>
  <c r="H51" i="1"/>
  <c r="J51" i="1"/>
  <c r="K51" i="1" s="1"/>
  <c r="F52" i="1"/>
  <c r="G52" i="1"/>
  <c r="H52" i="1"/>
  <c r="J52" i="1"/>
  <c r="K52" i="1"/>
  <c r="F53" i="1"/>
  <c r="G53" i="1"/>
  <c r="H53" i="1"/>
  <c r="J53" i="1"/>
  <c r="K53" i="1"/>
  <c r="F54" i="1"/>
  <c r="G54" i="1"/>
  <c r="H54" i="1" s="1"/>
  <c r="J54" i="1"/>
  <c r="K54" i="1" s="1"/>
  <c r="F55" i="1"/>
  <c r="G55" i="1"/>
  <c r="H55" i="1"/>
  <c r="J55" i="1"/>
  <c r="K55" i="1" s="1"/>
  <c r="F56" i="1"/>
  <c r="G56" i="1"/>
  <c r="H56" i="1"/>
  <c r="J56" i="1"/>
  <c r="K56" i="1"/>
  <c r="F57" i="1"/>
  <c r="G57" i="1"/>
  <c r="H57" i="1"/>
  <c r="J57" i="1"/>
  <c r="K57" i="1"/>
  <c r="F58" i="1"/>
  <c r="G58" i="1"/>
  <c r="H58" i="1" s="1"/>
  <c r="J58" i="1"/>
  <c r="K58" i="1"/>
</calcChain>
</file>

<file path=xl/sharedStrings.xml><?xml version="1.0" encoding="utf-8"?>
<sst xmlns="http://schemas.openxmlformats.org/spreadsheetml/2006/main" count="28" uniqueCount="22">
  <si>
    <t>(kg-cm)</t>
    <phoneticPr fontId="2" type="noConversion"/>
  </si>
  <si>
    <t>(cm)</t>
    <phoneticPr fontId="2" type="noConversion"/>
  </si>
  <si>
    <t>(kg)</t>
    <phoneticPr fontId="2" type="noConversion"/>
  </si>
  <si>
    <t>L1</t>
    <phoneticPr fontId="2" type="noConversion"/>
  </si>
  <si>
    <t>W</t>
    <phoneticPr fontId="2" type="noConversion"/>
  </si>
  <si>
    <t>W1</t>
    <phoneticPr fontId="2" type="noConversion"/>
  </si>
  <si>
    <t>L</t>
    <phoneticPr fontId="2" type="noConversion"/>
  </si>
  <si>
    <t>P</t>
    <phoneticPr fontId="2" type="noConversion"/>
  </si>
  <si>
    <t>SF</t>
    <phoneticPr fontId="2" type="noConversion"/>
  </si>
  <si>
    <t>安定餘裕荷重</t>
    <phoneticPr fontId="2" type="noConversion"/>
  </si>
  <si>
    <t>翻倒之負荷荷重</t>
    <phoneticPr fontId="2" type="noConversion"/>
  </si>
  <si>
    <t>安定度</t>
    <phoneticPr fontId="2" type="noConversion"/>
  </si>
  <si>
    <t>安定力矩</t>
    <phoneticPr fontId="2" type="noConversion"/>
  </si>
  <si>
    <t>翻倒力矩</t>
    <phoneticPr fontId="2" type="noConversion"/>
  </si>
  <si>
    <r>
      <t>伸腳距離</t>
    </r>
    <r>
      <rPr>
        <sz val="12"/>
        <rFont val="Times New Roman"/>
        <family val="1"/>
      </rPr>
      <t>/2</t>
    </r>
    <phoneticPr fontId="2" type="noConversion"/>
  </si>
  <si>
    <t>伸臂自重</t>
    <phoneticPr fontId="2" type="noConversion"/>
  </si>
  <si>
    <t>起重機本體重
(除吊桿)</t>
    <phoneticPr fontId="2" type="noConversion"/>
  </si>
  <si>
    <t>作業半徑</t>
    <phoneticPr fontId="2" type="noConversion"/>
  </si>
  <si>
    <t>吊升荷重</t>
    <phoneticPr fontId="2" type="noConversion"/>
  </si>
  <si>
    <r>
      <t>安定度</t>
    </r>
    <r>
      <rPr>
        <sz val="12"/>
        <rFont val="Times New Roman"/>
        <family val="1"/>
      </rPr>
      <t>=M2/M1</t>
    </r>
    <phoneticPr fontId="2" type="noConversion"/>
  </si>
  <si>
    <r>
      <t>安定力矩</t>
    </r>
    <r>
      <rPr>
        <sz val="12"/>
        <rFont val="Times New Roman"/>
        <family val="1"/>
      </rPr>
      <t>(M2)=W1*L1</t>
    </r>
    <phoneticPr fontId="2" type="noConversion"/>
  </si>
  <si>
    <r>
      <t>翻倒力矩</t>
    </r>
    <r>
      <rPr>
        <sz val="12"/>
        <rFont val="Times New Roman"/>
        <family val="1"/>
      </rPr>
      <t>(M1)</t>
    </r>
    <r>
      <rPr>
        <sz val="12"/>
        <rFont val="標楷體"/>
        <family val="4"/>
        <charset val="136"/>
      </rPr>
      <t>=P*(L-L1)+W*(L/2-L1)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</si>
</sst>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 "/>
    <numFmt numFmtId="177" formatCode="0.0"/>
  </numFmts>
  <fonts count="7"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9"/>
      <name val="新細明體"/>
      <family val="1"/>
      <charset val="136"/>
    </font>
    <font>
      <sz val="12"/>
      <color rgb="FF00B0F0"/>
      <name val="標楷體"/>
      <family val="4"/>
      <charset val="136"/>
    </font>
    <font>
      <sz val="12"/>
      <color indexed="10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3" fillId="0" borderId="1" xfId="0" applyNumberFormat="1" applyFont="1" applyBorder="1"/>
    <xf numFmtId="176" fontId="3" fillId="0" borderId="1" xfId="0" applyNumberFormat="1" applyFont="1" applyBorder="1"/>
    <xf numFmtId="177" fontId="3" fillId="0" borderId="1" xfId="0" applyNumberFormat="1" applyFont="1" applyBorder="1"/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2" xfId="0" applyFont="1" applyBorder="1"/>
    <xf numFmtId="0" fontId="6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wrapText="1"/>
    </xf>
    <xf numFmtId="0" fontId="1" fillId="0" borderId="4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8"/>
  <sheetViews>
    <sheetView tabSelected="1" workbookViewId="0">
      <selection activeCell="K9" sqref="K9"/>
    </sheetView>
  </sheetViews>
  <sheetFormatPr defaultRowHeight="16.5"/>
  <cols>
    <col min="1" max="2" width="9.75" style="2" customWidth="1"/>
    <col min="3" max="3" width="15.75" style="2" customWidth="1"/>
    <col min="4" max="4" width="9.75" style="2" customWidth="1"/>
    <col min="5" max="5" width="12.125" style="2" customWidth="1"/>
    <col min="6" max="9" width="9" style="1"/>
    <col min="10" max="10" width="10.5" style="1" customWidth="1"/>
    <col min="11" max="11" width="8.125" style="1" customWidth="1"/>
    <col min="12" max="16384" width="9" style="1"/>
  </cols>
  <sheetData>
    <row r="2" spans="1:11">
      <c r="A2" s="17" t="s">
        <v>21</v>
      </c>
    </row>
    <row r="3" spans="1:11">
      <c r="A3" s="17" t="s">
        <v>20</v>
      </c>
    </row>
    <row r="4" spans="1:11">
      <c r="A4" s="17" t="s">
        <v>19</v>
      </c>
    </row>
    <row r="5" spans="1:11">
      <c r="A5" s="17"/>
    </row>
    <row r="6" spans="1:11" ht="35.25" customHeight="1">
      <c r="A6" s="15" t="s">
        <v>18</v>
      </c>
      <c r="B6" s="15" t="s">
        <v>17</v>
      </c>
      <c r="C6" s="16" t="s">
        <v>16</v>
      </c>
      <c r="D6" s="15" t="s">
        <v>15</v>
      </c>
      <c r="E6" s="15" t="s">
        <v>14</v>
      </c>
      <c r="F6" s="15" t="s">
        <v>13</v>
      </c>
      <c r="G6" s="15" t="s">
        <v>12</v>
      </c>
      <c r="H6" s="15" t="s">
        <v>11</v>
      </c>
      <c r="I6" s="18" t="s">
        <v>10</v>
      </c>
      <c r="J6" s="18" t="s">
        <v>9</v>
      </c>
      <c r="K6" s="19" t="s">
        <v>8</v>
      </c>
    </row>
    <row r="7" spans="1:11">
      <c r="A7" s="14" t="s">
        <v>7</v>
      </c>
      <c r="B7" s="14" t="s">
        <v>6</v>
      </c>
      <c r="C7" s="14" t="s">
        <v>5</v>
      </c>
      <c r="D7" s="14" t="s">
        <v>4</v>
      </c>
      <c r="E7" s="14" t="s">
        <v>3</v>
      </c>
      <c r="F7" s="13"/>
      <c r="G7" s="13"/>
      <c r="H7" s="13"/>
      <c r="I7" s="13"/>
      <c r="J7" s="13"/>
      <c r="K7" s="13"/>
    </row>
    <row r="8" spans="1:11">
      <c r="A8" s="12" t="s">
        <v>2</v>
      </c>
      <c r="B8" s="12" t="s">
        <v>1</v>
      </c>
      <c r="C8" s="12" t="s">
        <v>2</v>
      </c>
      <c r="D8" s="12" t="s">
        <v>2</v>
      </c>
      <c r="E8" s="12" t="s">
        <v>1</v>
      </c>
      <c r="F8" s="12" t="s">
        <v>0</v>
      </c>
      <c r="G8" s="12" t="s">
        <v>0</v>
      </c>
      <c r="H8" s="11"/>
      <c r="I8" s="12" t="s">
        <v>2</v>
      </c>
      <c r="J8" s="12" t="s">
        <v>2</v>
      </c>
      <c r="K8" s="11"/>
    </row>
    <row r="9" spans="1:11">
      <c r="A9" s="9">
        <v>3030</v>
      </c>
      <c r="B9" s="10">
        <v>270</v>
      </c>
      <c r="C9" s="8">
        <v>8525</v>
      </c>
      <c r="D9" s="8">
        <v>935</v>
      </c>
      <c r="E9" s="8">
        <v>240</v>
      </c>
      <c r="F9" s="7">
        <f t="shared" ref="F9:F40" si="0">A9*(B9-E9)+D9*(B9/2-E9)</f>
        <v>-7275</v>
      </c>
      <c r="G9" s="7">
        <f t="shared" ref="G9:G40" si="1">C9*E9</f>
        <v>2046000</v>
      </c>
      <c r="H9" s="6">
        <f t="shared" ref="H9:H40" si="2">G9/F9</f>
        <v>-281.23711340206188</v>
      </c>
      <c r="I9" s="5">
        <f>(C9*E9-D9*(B9/2-E9))/(B9-E9)</f>
        <v>71472.5</v>
      </c>
      <c r="J9" s="4">
        <f t="shared" ref="J9:J40" si="3">I9-A9</f>
        <v>68442.5</v>
      </c>
      <c r="K9" s="3">
        <f t="shared" ref="K9:K40" si="4">(D9/2+A9+J9)/(D9/2+A9)</f>
        <v>20.568977841315224</v>
      </c>
    </row>
    <row r="10" spans="1:11">
      <c r="A10" s="9">
        <v>3030</v>
      </c>
      <c r="B10" s="10">
        <v>300</v>
      </c>
      <c r="C10" s="8">
        <v>8525</v>
      </c>
      <c r="D10" s="8">
        <v>935</v>
      </c>
      <c r="E10" s="8">
        <v>240</v>
      </c>
      <c r="F10" s="7">
        <f t="shared" si="0"/>
        <v>97650</v>
      </c>
      <c r="G10" s="7">
        <f t="shared" si="1"/>
        <v>2046000</v>
      </c>
      <c r="H10" s="6">
        <f t="shared" si="2"/>
        <v>20.952380952380953</v>
      </c>
      <c r="I10" s="5">
        <f t="shared" ref="I10:I58" si="5">(C10*E10-D10*(B10/2-E10))/(B10-E10)</f>
        <v>35502.5</v>
      </c>
      <c r="J10" s="4">
        <f t="shared" si="3"/>
        <v>32472.5</v>
      </c>
      <c r="K10" s="3">
        <f t="shared" si="4"/>
        <v>10.284488920657612</v>
      </c>
    </row>
    <row r="11" spans="1:11">
      <c r="A11" s="9">
        <v>3030</v>
      </c>
      <c r="B11" s="10">
        <v>370</v>
      </c>
      <c r="C11" s="8">
        <v>8525</v>
      </c>
      <c r="D11" s="8">
        <v>935</v>
      </c>
      <c r="E11" s="8">
        <v>240</v>
      </c>
      <c r="F11" s="7">
        <f t="shared" si="0"/>
        <v>342475</v>
      </c>
      <c r="G11" s="7">
        <f t="shared" si="1"/>
        <v>2046000</v>
      </c>
      <c r="H11" s="6">
        <f t="shared" si="2"/>
        <v>5.9741586977151613</v>
      </c>
      <c r="I11" s="5">
        <f t="shared" si="5"/>
        <v>16134.038461538461</v>
      </c>
      <c r="J11" s="4">
        <f t="shared" si="3"/>
        <v>13104.038461538461</v>
      </c>
      <c r="K11" s="3">
        <f t="shared" si="4"/>
        <v>4.7466871941496676</v>
      </c>
    </row>
    <row r="12" spans="1:11">
      <c r="A12" s="9">
        <v>3030</v>
      </c>
      <c r="B12" s="10">
        <v>270</v>
      </c>
      <c r="C12" s="8">
        <v>8525</v>
      </c>
      <c r="D12" s="8">
        <v>935</v>
      </c>
      <c r="E12" s="8">
        <v>240</v>
      </c>
      <c r="F12" s="7">
        <f t="shared" si="0"/>
        <v>-7275</v>
      </c>
      <c r="G12" s="7">
        <f t="shared" si="1"/>
        <v>2046000</v>
      </c>
      <c r="H12" s="6">
        <f t="shared" si="2"/>
        <v>-281.23711340206188</v>
      </c>
      <c r="I12" s="5">
        <f t="shared" si="5"/>
        <v>71472.5</v>
      </c>
      <c r="J12" s="4">
        <f t="shared" si="3"/>
        <v>68442.5</v>
      </c>
      <c r="K12" s="3">
        <f t="shared" si="4"/>
        <v>20.568977841315224</v>
      </c>
    </row>
    <row r="13" spans="1:11">
      <c r="A13" s="9">
        <v>3030</v>
      </c>
      <c r="B13" s="10">
        <v>300</v>
      </c>
      <c r="C13" s="8">
        <v>8525</v>
      </c>
      <c r="D13" s="8">
        <v>935</v>
      </c>
      <c r="E13" s="8">
        <v>240</v>
      </c>
      <c r="F13" s="7">
        <f t="shared" si="0"/>
        <v>97650</v>
      </c>
      <c r="G13" s="7">
        <f t="shared" si="1"/>
        <v>2046000</v>
      </c>
      <c r="H13" s="6">
        <f t="shared" si="2"/>
        <v>20.952380952380953</v>
      </c>
      <c r="I13" s="5">
        <f t="shared" si="5"/>
        <v>35502.5</v>
      </c>
      <c r="J13" s="4">
        <f t="shared" si="3"/>
        <v>32472.5</v>
      </c>
      <c r="K13" s="3">
        <f t="shared" si="4"/>
        <v>10.284488920657612</v>
      </c>
    </row>
    <row r="14" spans="1:11">
      <c r="A14" s="9">
        <v>3030</v>
      </c>
      <c r="B14" s="10">
        <v>390</v>
      </c>
      <c r="C14" s="8">
        <v>8525</v>
      </c>
      <c r="D14" s="8">
        <v>935</v>
      </c>
      <c r="E14" s="8">
        <v>240</v>
      </c>
      <c r="F14" s="7">
        <f t="shared" si="0"/>
        <v>412425</v>
      </c>
      <c r="G14" s="7">
        <f t="shared" si="1"/>
        <v>2046000</v>
      </c>
      <c r="H14" s="6">
        <f t="shared" si="2"/>
        <v>4.9609019821785783</v>
      </c>
      <c r="I14" s="5">
        <f t="shared" si="5"/>
        <v>13920.5</v>
      </c>
      <c r="J14" s="4">
        <f t="shared" si="3"/>
        <v>10890.5</v>
      </c>
      <c r="K14" s="3">
        <f t="shared" si="4"/>
        <v>4.1137955682630452</v>
      </c>
    </row>
    <row r="15" spans="1:11">
      <c r="A15" s="9">
        <v>2430</v>
      </c>
      <c r="B15" s="10">
        <v>450</v>
      </c>
      <c r="C15" s="8">
        <v>8525</v>
      </c>
      <c r="D15" s="8">
        <v>935</v>
      </c>
      <c r="E15" s="8">
        <v>240</v>
      </c>
      <c r="F15" s="7">
        <f t="shared" si="0"/>
        <v>496275</v>
      </c>
      <c r="G15" s="7">
        <f t="shared" si="1"/>
        <v>2046000</v>
      </c>
      <c r="H15" s="6">
        <f t="shared" si="2"/>
        <v>4.1227142209460483</v>
      </c>
      <c r="I15" s="5">
        <f t="shared" si="5"/>
        <v>9809.6428571428569</v>
      </c>
      <c r="J15" s="4">
        <f t="shared" si="3"/>
        <v>7379.6428571428569</v>
      </c>
      <c r="K15" s="3">
        <f t="shared" si="4"/>
        <v>3.5469000369776902</v>
      </c>
    </row>
    <row r="16" spans="1:11">
      <c r="A16" s="9">
        <v>2130</v>
      </c>
      <c r="B16" s="10">
        <v>500</v>
      </c>
      <c r="C16" s="8">
        <v>8525</v>
      </c>
      <c r="D16" s="8">
        <v>935</v>
      </c>
      <c r="E16" s="8">
        <v>240</v>
      </c>
      <c r="F16" s="7">
        <f t="shared" si="0"/>
        <v>563150</v>
      </c>
      <c r="G16" s="7">
        <f t="shared" si="1"/>
        <v>2046000</v>
      </c>
      <c r="H16" s="6">
        <f t="shared" si="2"/>
        <v>3.6331350439492143</v>
      </c>
      <c r="I16" s="5">
        <f t="shared" si="5"/>
        <v>7833.2692307692305</v>
      </c>
      <c r="J16" s="4">
        <f t="shared" si="3"/>
        <v>5703.2692307692305</v>
      </c>
      <c r="K16" s="3">
        <f t="shared" si="4"/>
        <v>3.1956763159843042</v>
      </c>
    </row>
    <row r="17" spans="1:11">
      <c r="A17" s="9">
        <v>1880</v>
      </c>
      <c r="B17" s="10">
        <v>550</v>
      </c>
      <c r="C17" s="8">
        <v>8525</v>
      </c>
      <c r="D17" s="8">
        <v>935</v>
      </c>
      <c r="E17" s="8">
        <v>240</v>
      </c>
      <c r="F17" s="7">
        <f t="shared" si="0"/>
        <v>615525</v>
      </c>
      <c r="G17" s="7">
        <f t="shared" si="1"/>
        <v>2046000</v>
      </c>
      <c r="H17" s="6">
        <f t="shared" si="2"/>
        <v>3.323991714390155</v>
      </c>
      <c r="I17" s="5">
        <f t="shared" si="5"/>
        <v>6494.4354838709678</v>
      </c>
      <c r="J17" s="4">
        <f t="shared" si="3"/>
        <v>4614.4354838709678</v>
      </c>
      <c r="K17" s="3">
        <f t="shared" si="4"/>
        <v>2.9656807173039268</v>
      </c>
    </row>
    <row r="18" spans="1:11">
      <c r="A18" s="9">
        <v>1600</v>
      </c>
      <c r="B18" s="10">
        <v>610</v>
      </c>
      <c r="C18" s="8">
        <v>8525</v>
      </c>
      <c r="D18" s="8">
        <v>935</v>
      </c>
      <c r="E18" s="8">
        <v>240</v>
      </c>
      <c r="F18" s="7">
        <f t="shared" si="0"/>
        <v>652775</v>
      </c>
      <c r="G18" s="7">
        <f t="shared" si="1"/>
        <v>2046000</v>
      </c>
      <c r="H18" s="6">
        <f t="shared" si="2"/>
        <v>3.1343112098349355</v>
      </c>
      <c r="I18" s="5">
        <f t="shared" si="5"/>
        <v>5365.4729729729734</v>
      </c>
      <c r="J18" s="4">
        <f t="shared" si="3"/>
        <v>3765.4729729729734</v>
      </c>
      <c r="K18" s="3">
        <f t="shared" si="4"/>
        <v>2.8212686689107489</v>
      </c>
    </row>
    <row r="19" spans="1:11">
      <c r="A19" s="9">
        <v>3030</v>
      </c>
      <c r="B19" s="10">
        <v>270</v>
      </c>
      <c r="C19" s="8">
        <v>8525</v>
      </c>
      <c r="D19" s="8">
        <v>935</v>
      </c>
      <c r="E19" s="8">
        <v>240</v>
      </c>
      <c r="F19" s="7">
        <f t="shared" si="0"/>
        <v>-7275</v>
      </c>
      <c r="G19" s="7">
        <f t="shared" si="1"/>
        <v>2046000</v>
      </c>
      <c r="H19" s="6">
        <f t="shared" si="2"/>
        <v>-281.23711340206188</v>
      </c>
      <c r="I19" s="5">
        <f t="shared" si="5"/>
        <v>71472.5</v>
      </c>
      <c r="J19" s="4">
        <f t="shared" si="3"/>
        <v>68442.5</v>
      </c>
      <c r="K19" s="3">
        <f t="shared" si="4"/>
        <v>20.568977841315224</v>
      </c>
    </row>
    <row r="20" spans="1:11">
      <c r="A20" s="9">
        <v>3030</v>
      </c>
      <c r="B20" s="10">
        <v>300</v>
      </c>
      <c r="C20" s="8">
        <v>8525</v>
      </c>
      <c r="D20" s="8">
        <v>935</v>
      </c>
      <c r="E20" s="8">
        <v>240</v>
      </c>
      <c r="F20" s="7">
        <f t="shared" si="0"/>
        <v>97650</v>
      </c>
      <c r="G20" s="7">
        <f t="shared" si="1"/>
        <v>2046000</v>
      </c>
      <c r="H20" s="6">
        <f t="shared" si="2"/>
        <v>20.952380952380953</v>
      </c>
      <c r="I20" s="5">
        <f t="shared" si="5"/>
        <v>35502.5</v>
      </c>
      <c r="J20" s="4">
        <f t="shared" si="3"/>
        <v>32472.5</v>
      </c>
      <c r="K20" s="3">
        <f t="shared" si="4"/>
        <v>10.284488920657612</v>
      </c>
    </row>
    <row r="21" spans="1:11">
      <c r="A21" s="9">
        <v>3030</v>
      </c>
      <c r="B21" s="10">
        <v>390</v>
      </c>
      <c r="C21" s="8">
        <v>8525</v>
      </c>
      <c r="D21" s="8">
        <v>935</v>
      </c>
      <c r="E21" s="8">
        <v>240</v>
      </c>
      <c r="F21" s="7">
        <f t="shared" si="0"/>
        <v>412425</v>
      </c>
      <c r="G21" s="7">
        <f t="shared" si="1"/>
        <v>2046000</v>
      </c>
      <c r="H21" s="6">
        <f t="shared" si="2"/>
        <v>4.9609019821785783</v>
      </c>
      <c r="I21" s="5">
        <f t="shared" si="5"/>
        <v>13920.5</v>
      </c>
      <c r="J21" s="4">
        <f t="shared" si="3"/>
        <v>10890.5</v>
      </c>
      <c r="K21" s="3">
        <f t="shared" si="4"/>
        <v>4.1137955682630452</v>
      </c>
    </row>
    <row r="22" spans="1:11">
      <c r="A22" s="9">
        <v>2430</v>
      </c>
      <c r="B22" s="10">
        <v>450</v>
      </c>
      <c r="C22" s="8">
        <v>8525</v>
      </c>
      <c r="D22" s="8">
        <v>935</v>
      </c>
      <c r="E22" s="8">
        <v>240</v>
      </c>
      <c r="F22" s="7">
        <f t="shared" si="0"/>
        <v>496275</v>
      </c>
      <c r="G22" s="7">
        <f t="shared" si="1"/>
        <v>2046000</v>
      </c>
      <c r="H22" s="6">
        <f t="shared" si="2"/>
        <v>4.1227142209460483</v>
      </c>
      <c r="I22" s="5">
        <f t="shared" si="5"/>
        <v>9809.6428571428569</v>
      </c>
      <c r="J22" s="4">
        <f t="shared" si="3"/>
        <v>7379.6428571428569</v>
      </c>
      <c r="K22" s="3">
        <f t="shared" si="4"/>
        <v>3.5469000369776902</v>
      </c>
    </row>
    <row r="23" spans="1:11">
      <c r="A23" s="9">
        <v>2130</v>
      </c>
      <c r="B23" s="10">
        <v>500</v>
      </c>
      <c r="C23" s="8">
        <v>8525</v>
      </c>
      <c r="D23" s="8">
        <v>935</v>
      </c>
      <c r="E23" s="8">
        <v>240</v>
      </c>
      <c r="F23" s="7">
        <f t="shared" si="0"/>
        <v>563150</v>
      </c>
      <c r="G23" s="7">
        <f t="shared" si="1"/>
        <v>2046000</v>
      </c>
      <c r="H23" s="6">
        <f t="shared" si="2"/>
        <v>3.6331350439492143</v>
      </c>
      <c r="I23" s="5">
        <f t="shared" si="5"/>
        <v>7833.2692307692305</v>
      </c>
      <c r="J23" s="4">
        <f t="shared" si="3"/>
        <v>5703.2692307692305</v>
      </c>
      <c r="K23" s="3">
        <f t="shared" si="4"/>
        <v>3.1956763159843042</v>
      </c>
    </row>
    <row r="24" spans="1:11">
      <c r="A24" s="9">
        <v>1880</v>
      </c>
      <c r="B24" s="10">
        <v>550</v>
      </c>
      <c r="C24" s="8">
        <v>8525</v>
      </c>
      <c r="D24" s="8">
        <v>935</v>
      </c>
      <c r="E24" s="8">
        <v>240</v>
      </c>
      <c r="F24" s="7">
        <f t="shared" si="0"/>
        <v>615525</v>
      </c>
      <c r="G24" s="7">
        <f t="shared" si="1"/>
        <v>2046000</v>
      </c>
      <c r="H24" s="6">
        <f t="shared" si="2"/>
        <v>3.323991714390155</v>
      </c>
      <c r="I24" s="5">
        <f t="shared" si="5"/>
        <v>6494.4354838709678</v>
      </c>
      <c r="J24" s="4">
        <f t="shared" si="3"/>
        <v>4614.4354838709678</v>
      </c>
      <c r="K24" s="3">
        <f t="shared" si="4"/>
        <v>2.9656807173039268</v>
      </c>
    </row>
    <row r="25" spans="1:11">
      <c r="A25" s="9">
        <v>1630</v>
      </c>
      <c r="B25" s="10">
        <v>600</v>
      </c>
      <c r="C25" s="8">
        <v>8525</v>
      </c>
      <c r="D25" s="8">
        <v>935</v>
      </c>
      <c r="E25" s="8">
        <v>240</v>
      </c>
      <c r="F25" s="7">
        <f t="shared" si="0"/>
        <v>642900</v>
      </c>
      <c r="G25" s="7">
        <f t="shared" si="1"/>
        <v>2046000</v>
      </c>
      <c r="H25" s="6">
        <f t="shared" si="2"/>
        <v>3.182454503033131</v>
      </c>
      <c r="I25" s="5">
        <f t="shared" si="5"/>
        <v>5527.5</v>
      </c>
      <c r="J25" s="4">
        <f t="shared" si="3"/>
        <v>3897.5</v>
      </c>
      <c r="K25" s="3">
        <f t="shared" si="4"/>
        <v>2.858164481525626</v>
      </c>
    </row>
    <row r="26" spans="1:11">
      <c r="A26" s="9">
        <v>1330</v>
      </c>
      <c r="B26" s="10">
        <v>700</v>
      </c>
      <c r="C26" s="8">
        <v>8525</v>
      </c>
      <c r="D26" s="8">
        <v>935</v>
      </c>
      <c r="E26" s="8">
        <v>240</v>
      </c>
      <c r="F26" s="7">
        <f t="shared" si="0"/>
        <v>714650</v>
      </c>
      <c r="G26" s="7">
        <f t="shared" si="1"/>
        <v>2046000</v>
      </c>
      <c r="H26" s="6">
        <f t="shared" si="2"/>
        <v>2.8629399006506682</v>
      </c>
      <c r="I26" s="5">
        <f t="shared" si="5"/>
        <v>4224.239130434783</v>
      </c>
      <c r="J26" s="4">
        <f t="shared" si="3"/>
        <v>2894.239130434783</v>
      </c>
      <c r="K26" s="3">
        <f t="shared" si="4"/>
        <v>2.610146943218238</v>
      </c>
    </row>
    <row r="27" spans="1:11">
      <c r="A27" s="9">
        <v>1030</v>
      </c>
      <c r="B27" s="10">
        <v>850</v>
      </c>
      <c r="C27" s="8">
        <v>8525</v>
      </c>
      <c r="D27" s="8">
        <v>935</v>
      </c>
      <c r="E27" s="8">
        <v>240</v>
      </c>
      <c r="F27" s="7">
        <f t="shared" si="0"/>
        <v>801275</v>
      </c>
      <c r="G27" s="7">
        <f t="shared" si="1"/>
        <v>2046000</v>
      </c>
      <c r="H27" s="6">
        <f t="shared" si="2"/>
        <v>2.5534304701881378</v>
      </c>
      <c r="I27" s="5">
        <f t="shared" si="5"/>
        <v>3070.532786885246</v>
      </c>
      <c r="J27" s="4">
        <f t="shared" si="3"/>
        <v>2040.532786885246</v>
      </c>
      <c r="K27" s="3">
        <f t="shared" si="4"/>
        <v>2.3626262349818004</v>
      </c>
    </row>
    <row r="28" spans="1:11">
      <c r="A28" s="9">
        <v>2030</v>
      </c>
      <c r="B28" s="10">
        <v>400</v>
      </c>
      <c r="C28" s="8">
        <v>8525</v>
      </c>
      <c r="D28" s="8">
        <v>935</v>
      </c>
      <c r="E28" s="8">
        <v>240</v>
      </c>
      <c r="F28" s="7">
        <f t="shared" si="0"/>
        <v>287400</v>
      </c>
      <c r="G28" s="7">
        <f t="shared" si="1"/>
        <v>2046000</v>
      </c>
      <c r="H28" s="6">
        <f t="shared" si="2"/>
        <v>7.1189979123173277</v>
      </c>
      <c r="I28" s="5">
        <f t="shared" si="5"/>
        <v>13021.25</v>
      </c>
      <c r="J28" s="4">
        <f t="shared" si="3"/>
        <v>10991.25</v>
      </c>
      <c r="K28" s="3">
        <f t="shared" si="4"/>
        <v>5.4009009009009006</v>
      </c>
    </row>
    <row r="29" spans="1:11">
      <c r="A29" s="9">
        <v>2030</v>
      </c>
      <c r="B29" s="10">
        <v>450</v>
      </c>
      <c r="C29" s="8">
        <v>8525</v>
      </c>
      <c r="D29" s="8">
        <v>935</v>
      </c>
      <c r="E29" s="8">
        <v>240</v>
      </c>
      <c r="F29" s="7">
        <f t="shared" si="0"/>
        <v>412275</v>
      </c>
      <c r="G29" s="7">
        <f t="shared" si="1"/>
        <v>2046000</v>
      </c>
      <c r="H29" s="6">
        <f t="shared" si="2"/>
        <v>4.9627069310533019</v>
      </c>
      <c r="I29" s="5">
        <f t="shared" si="5"/>
        <v>9809.6428571428569</v>
      </c>
      <c r="J29" s="4">
        <f t="shared" si="3"/>
        <v>7779.6428571428569</v>
      </c>
      <c r="K29" s="3">
        <f t="shared" si="4"/>
        <v>4.1149721149721152</v>
      </c>
    </row>
    <row r="30" spans="1:11">
      <c r="A30" s="9">
        <v>1830</v>
      </c>
      <c r="B30" s="10">
        <v>500</v>
      </c>
      <c r="C30" s="8">
        <v>8525</v>
      </c>
      <c r="D30" s="8">
        <v>935</v>
      </c>
      <c r="E30" s="8">
        <v>240</v>
      </c>
      <c r="F30" s="7">
        <f t="shared" si="0"/>
        <v>485150</v>
      </c>
      <c r="G30" s="7">
        <f t="shared" si="1"/>
        <v>2046000</v>
      </c>
      <c r="H30" s="6">
        <f t="shared" si="2"/>
        <v>4.2172523961661339</v>
      </c>
      <c r="I30" s="5">
        <f t="shared" si="5"/>
        <v>7833.2692307692305</v>
      </c>
      <c r="J30" s="4">
        <f t="shared" si="3"/>
        <v>6003.2692307692305</v>
      </c>
      <c r="K30" s="3">
        <f t="shared" si="4"/>
        <v>3.6129572277559219</v>
      </c>
    </row>
    <row r="31" spans="1:11">
      <c r="A31" s="9">
        <v>1650</v>
      </c>
      <c r="B31" s="10">
        <v>550</v>
      </c>
      <c r="C31" s="8">
        <v>8525</v>
      </c>
      <c r="D31" s="8">
        <v>935</v>
      </c>
      <c r="E31" s="8">
        <v>240</v>
      </c>
      <c r="F31" s="7">
        <f t="shared" si="0"/>
        <v>544225</v>
      </c>
      <c r="G31" s="7">
        <f t="shared" si="1"/>
        <v>2046000</v>
      </c>
      <c r="H31" s="6">
        <f t="shared" si="2"/>
        <v>3.7594744820616475</v>
      </c>
      <c r="I31" s="5">
        <f t="shared" si="5"/>
        <v>6494.4354838709678</v>
      </c>
      <c r="J31" s="4">
        <f t="shared" si="3"/>
        <v>4844.4354838709678</v>
      </c>
      <c r="K31" s="3">
        <f t="shared" si="4"/>
        <v>3.28780896522832</v>
      </c>
    </row>
    <row r="32" spans="1:11">
      <c r="A32" s="9">
        <v>1480</v>
      </c>
      <c r="B32" s="10">
        <v>660</v>
      </c>
      <c r="C32" s="8">
        <v>8525</v>
      </c>
      <c r="D32" s="8">
        <v>935</v>
      </c>
      <c r="E32" s="8">
        <v>240</v>
      </c>
      <c r="F32" s="7">
        <f t="shared" si="0"/>
        <v>705750</v>
      </c>
      <c r="G32" s="7">
        <f t="shared" si="1"/>
        <v>2046000</v>
      </c>
      <c r="H32" s="6">
        <f t="shared" si="2"/>
        <v>2.8990435706695004</v>
      </c>
      <c r="I32" s="5">
        <f t="shared" si="5"/>
        <v>4671.0714285714284</v>
      </c>
      <c r="J32" s="4">
        <f t="shared" si="3"/>
        <v>3191.0714285714284</v>
      </c>
      <c r="K32" s="3">
        <f t="shared" si="4"/>
        <v>2.6385475884834038</v>
      </c>
    </row>
    <row r="33" spans="1:11">
      <c r="A33" s="9">
        <v>1230</v>
      </c>
      <c r="B33" s="10">
        <v>700</v>
      </c>
      <c r="C33" s="8">
        <v>8525</v>
      </c>
      <c r="D33" s="8">
        <v>935</v>
      </c>
      <c r="E33" s="8">
        <v>240</v>
      </c>
      <c r="F33" s="7">
        <f t="shared" si="0"/>
        <v>668650</v>
      </c>
      <c r="G33" s="7">
        <f t="shared" si="1"/>
        <v>2046000</v>
      </c>
      <c r="H33" s="6">
        <f t="shared" si="2"/>
        <v>3.0598968069991774</v>
      </c>
      <c r="I33" s="5">
        <f t="shared" si="5"/>
        <v>4224.239130434783</v>
      </c>
      <c r="J33" s="4">
        <f t="shared" si="3"/>
        <v>2994.239130434783</v>
      </c>
      <c r="K33" s="3">
        <f t="shared" si="4"/>
        <v>2.7639111224947177</v>
      </c>
    </row>
    <row r="34" spans="1:11">
      <c r="A34" s="9">
        <v>1030</v>
      </c>
      <c r="B34" s="10">
        <v>800</v>
      </c>
      <c r="C34" s="8">
        <v>8525</v>
      </c>
      <c r="D34" s="8">
        <v>935</v>
      </c>
      <c r="E34" s="8">
        <v>240</v>
      </c>
      <c r="F34" s="7">
        <f t="shared" si="0"/>
        <v>726400</v>
      </c>
      <c r="G34" s="7">
        <f t="shared" si="1"/>
        <v>2046000</v>
      </c>
      <c r="H34" s="6">
        <f t="shared" si="2"/>
        <v>2.8166299559471364</v>
      </c>
      <c r="I34" s="5">
        <f t="shared" si="5"/>
        <v>3386.4285714285716</v>
      </c>
      <c r="J34" s="4">
        <f t="shared" si="3"/>
        <v>2356.4285714285716</v>
      </c>
      <c r="K34" s="3">
        <f t="shared" si="4"/>
        <v>2.5735750059623181</v>
      </c>
    </row>
    <row r="35" spans="1:11">
      <c r="A35" s="9">
        <v>880</v>
      </c>
      <c r="B35" s="10">
        <v>900</v>
      </c>
      <c r="C35" s="8">
        <v>8525</v>
      </c>
      <c r="D35" s="8">
        <v>935</v>
      </c>
      <c r="E35" s="8">
        <v>240</v>
      </c>
      <c r="F35" s="7">
        <f t="shared" si="0"/>
        <v>777150</v>
      </c>
      <c r="G35" s="7">
        <f t="shared" si="1"/>
        <v>2046000</v>
      </c>
      <c r="H35" s="6">
        <f t="shared" si="2"/>
        <v>2.632696390658174</v>
      </c>
      <c r="I35" s="5">
        <f t="shared" si="5"/>
        <v>2802.5</v>
      </c>
      <c r="J35" s="4">
        <f t="shared" si="3"/>
        <v>1922.5</v>
      </c>
      <c r="K35" s="3">
        <f t="shared" si="4"/>
        <v>2.4267161410018554</v>
      </c>
    </row>
    <row r="36" spans="1:11">
      <c r="A36" s="9">
        <v>780</v>
      </c>
      <c r="B36" s="10">
        <v>1000</v>
      </c>
      <c r="C36" s="8">
        <v>8525</v>
      </c>
      <c r="D36" s="8">
        <v>935</v>
      </c>
      <c r="E36" s="8">
        <v>240</v>
      </c>
      <c r="F36" s="7">
        <f t="shared" si="0"/>
        <v>835900</v>
      </c>
      <c r="G36" s="7">
        <f t="shared" si="1"/>
        <v>2046000</v>
      </c>
      <c r="H36" s="6">
        <f t="shared" si="2"/>
        <v>2.447661203493241</v>
      </c>
      <c r="I36" s="5">
        <f t="shared" si="5"/>
        <v>2372.2368421052633</v>
      </c>
      <c r="J36" s="4">
        <f t="shared" si="3"/>
        <v>1592.2368421052633</v>
      </c>
      <c r="K36" s="3">
        <f t="shared" si="4"/>
        <v>2.2763421580002112</v>
      </c>
    </row>
    <row r="37" spans="1:11">
      <c r="A37" s="9">
        <v>730</v>
      </c>
      <c r="B37" s="10">
        <v>1080</v>
      </c>
      <c r="C37" s="8">
        <v>8525</v>
      </c>
      <c r="D37" s="8">
        <v>935</v>
      </c>
      <c r="E37" s="8">
        <v>240</v>
      </c>
      <c r="F37" s="7">
        <f t="shared" si="0"/>
        <v>893700</v>
      </c>
      <c r="G37" s="7">
        <f t="shared" si="1"/>
        <v>2046000</v>
      </c>
      <c r="H37" s="6">
        <f t="shared" si="2"/>
        <v>2.2893588452500837</v>
      </c>
      <c r="I37" s="5">
        <f t="shared" si="5"/>
        <v>2101.7857142857142</v>
      </c>
      <c r="J37" s="4">
        <f t="shared" si="3"/>
        <v>1371.7857142857142</v>
      </c>
      <c r="K37" s="3">
        <f t="shared" si="4"/>
        <v>2.1455413062928721</v>
      </c>
    </row>
    <row r="38" spans="1:11">
      <c r="A38" s="9">
        <v>1330</v>
      </c>
      <c r="B38" s="10">
        <v>450</v>
      </c>
      <c r="C38" s="8">
        <v>8525</v>
      </c>
      <c r="D38" s="8">
        <v>935</v>
      </c>
      <c r="E38" s="8">
        <v>240</v>
      </c>
      <c r="F38" s="7">
        <f t="shared" si="0"/>
        <v>265275</v>
      </c>
      <c r="G38" s="7">
        <f t="shared" si="1"/>
        <v>2046000</v>
      </c>
      <c r="H38" s="6">
        <f t="shared" si="2"/>
        <v>7.7127509188577887</v>
      </c>
      <c r="I38" s="5">
        <f t="shared" si="5"/>
        <v>9809.6428571428569</v>
      </c>
      <c r="J38" s="4">
        <f t="shared" si="3"/>
        <v>8479.6428571428569</v>
      </c>
      <c r="K38" s="3">
        <f t="shared" si="4"/>
        <v>5.7174647327637587</v>
      </c>
    </row>
    <row r="39" spans="1:11">
      <c r="A39" s="9">
        <v>1330</v>
      </c>
      <c r="B39" s="10">
        <v>500</v>
      </c>
      <c r="C39" s="8">
        <v>8525</v>
      </c>
      <c r="D39" s="8">
        <v>935</v>
      </c>
      <c r="E39" s="8">
        <v>240</v>
      </c>
      <c r="F39" s="7">
        <f t="shared" si="0"/>
        <v>355150</v>
      </c>
      <c r="G39" s="7">
        <f t="shared" si="1"/>
        <v>2046000</v>
      </c>
      <c r="H39" s="6">
        <f t="shared" si="2"/>
        <v>5.7609460791214984</v>
      </c>
      <c r="I39" s="5">
        <f t="shared" si="5"/>
        <v>7833.2692307692305</v>
      </c>
      <c r="J39" s="4">
        <f t="shared" si="3"/>
        <v>6503.2692307692305</v>
      </c>
      <c r="K39" s="3">
        <f t="shared" si="4"/>
        <v>4.6179522841553435</v>
      </c>
    </row>
    <row r="40" spans="1:11">
      <c r="A40" s="9">
        <v>1200</v>
      </c>
      <c r="B40" s="10">
        <v>550</v>
      </c>
      <c r="C40" s="8">
        <v>8525</v>
      </c>
      <c r="D40" s="8">
        <v>935</v>
      </c>
      <c r="E40" s="8">
        <v>240</v>
      </c>
      <c r="F40" s="7">
        <f t="shared" si="0"/>
        <v>404725</v>
      </c>
      <c r="G40" s="7">
        <f t="shared" si="1"/>
        <v>2046000</v>
      </c>
      <c r="H40" s="6">
        <f t="shared" si="2"/>
        <v>5.0552844524059548</v>
      </c>
      <c r="I40" s="5">
        <f t="shared" si="5"/>
        <v>6494.4354838709678</v>
      </c>
      <c r="J40" s="4">
        <f t="shared" si="3"/>
        <v>5294.4354838709678</v>
      </c>
      <c r="K40" s="3">
        <f t="shared" si="4"/>
        <v>4.175073753445858</v>
      </c>
    </row>
    <row r="41" spans="1:11">
      <c r="A41" s="9">
        <v>1100</v>
      </c>
      <c r="B41" s="10">
        <v>600</v>
      </c>
      <c r="C41" s="8">
        <v>8525</v>
      </c>
      <c r="D41" s="8">
        <v>935</v>
      </c>
      <c r="E41" s="8">
        <v>240</v>
      </c>
      <c r="F41" s="7">
        <f t="shared" ref="F41:F58" si="6">A41*(B41-E41)+D41*(B41/2-E41)</f>
        <v>452100</v>
      </c>
      <c r="G41" s="7">
        <f t="shared" ref="G41:G58" si="7">C41*E41</f>
        <v>2046000</v>
      </c>
      <c r="H41" s="6">
        <f t="shared" ref="H41:H58" si="8">G41/F41</f>
        <v>4.5255474452554747</v>
      </c>
      <c r="I41" s="5">
        <f t="shared" si="5"/>
        <v>5527.5</v>
      </c>
      <c r="J41" s="4">
        <f t="shared" ref="J41:J58" si="9">I41-A41</f>
        <v>4427.5</v>
      </c>
      <c r="K41" s="3">
        <f t="shared" ref="K41:K58" si="10">(D41/2+A41+J41)/(D41/2+A41)</f>
        <v>3.8245614035087718</v>
      </c>
    </row>
    <row r="42" spans="1:11">
      <c r="A42" s="9">
        <v>950</v>
      </c>
      <c r="B42" s="10">
        <v>700</v>
      </c>
      <c r="C42" s="8">
        <v>8525</v>
      </c>
      <c r="D42" s="8">
        <v>935</v>
      </c>
      <c r="E42" s="8">
        <v>240</v>
      </c>
      <c r="F42" s="7">
        <f t="shared" si="6"/>
        <v>539850</v>
      </c>
      <c r="G42" s="7">
        <f t="shared" si="7"/>
        <v>2046000</v>
      </c>
      <c r="H42" s="6">
        <f t="shared" si="8"/>
        <v>3.7899416504584607</v>
      </c>
      <c r="I42" s="5">
        <f t="shared" si="5"/>
        <v>4224.239130434783</v>
      </c>
      <c r="J42" s="4">
        <f t="shared" si="9"/>
        <v>3274.239130434783</v>
      </c>
      <c r="K42" s="3">
        <f t="shared" si="10"/>
        <v>3.3098688750862668</v>
      </c>
    </row>
    <row r="43" spans="1:11">
      <c r="A43" s="9">
        <v>830</v>
      </c>
      <c r="B43" s="10">
        <v>800</v>
      </c>
      <c r="C43" s="9">
        <v>8525</v>
      </c>
      <c r="D43" s="8">
        <v>935</v>
      </c>
      <c r="E43" s="8">
        <v>240</v>
      </c>
      <c r="F43" s="7">
        <f t="shared" si="6"/>
        <v>614400</v>
      </c>
      <c r="G43" s="7">
        <f t="shared" si="7"/>
        <v>2046000</v>
      </c>
      <c r="H43" s="6">
        <f t="shared" si="8"/>
        <v>3.330078125</v>
      </c>
      <c r="I43" s="5">
        <f t="shared" si="5"/>
        <v>3386.4285714285716</v>
      </c>
      <c r="J43" s="4">
        <f t="shared" si="9"/>
        <v>2556.4285714285716</v>
      </c>
      <c r="K43" s="3">
        <f t="shared" si="10"/>
        <v>2.9702725020644096</v>
      </c>
    </row>
    <row r="44" spans="1:11">
      <c r="A44" s="9">
        <v>730</v>
      </c>
      <c r="B44" s="10">
        <v>900</v>
      </c>
      <c r="C44" s="9">
        <v>8525</v>
      </c>
      <c r="D44" s="8">
        <v>935</v>
      </c>
      <c r="E44" s="8">
        <v>241</v>
      </c>
      <c r="F44" s="7">
        <f t="shared" si="6"/>
        <v>676485</v>
      </c>
      <c r="G44" s="7">
        <f t="shared" si="7"/>
        <v>2054525</v>
      </c>
      <c r="H44" s="6">
        <f t="shared" si="8"/>
        <v>3.0370592104776897</v>
      </c>
      <c r="I44" s="5">
        <f t="shared" si="5"/>
        <v>2821.1077389984825</v>
      </c>
      <c r="J44" s="4">
        <f t="shared" si="9"/>
        <v>2091.1077389984825</v>
      </c>
      <c r="K44" s="3">
        <f t="shared" si="10"/>
        <v>2.7462277569924698</v>
      </c>
    </row>
    <row r="45" spans="1:11">
      <c r="A45" s="9">
        <v>650</v>
      </c>
      <c r="B45" s="10">
        <v>1000</v>
      </c>
      <c r="C45" s="9">
        <v>8525</v>
      </c>
      <c r="D45" s="8">
        <v>935</v>
      </c>
      <c r="E45" s="8">
        <v>242</v>
      </c>
      <c r="F45" s="7">
        <f t="shared" si="6"/>
        <v>733930</v>
      </c>
      <c r="G45" s="7">
        <f t="shared" si="7"/>
        <v>2063050</v>
      </c>
      <c r="H45" s="6">
        <f t="shared" si="8"/>
        <v>2.8109628983690542</v>
      </c>
      <c r="I45" s="5">
        <f t="shared" si="5"/>
        <v>2403.4564643799472</v>
      </c>
      <c r="J45" s="4">
        <f t="shared" si="9"/>
        <v>1753.4564643799472</v>
      </c>
      <c r="K45" s="3">
        <f t="shared" si="10"/>
        <v>2.5690885587292591</v>
      </c>
    </row>
    <row r="46" spans="1:11">
      <c r="A46" s="9">
        <v>600</v>
      </c>
      <c r="B46" s="10">
        <v>1100</v>
      </c>
      <c r="C46" s="9">
        <v>8525</v>
      </c>
      <c r="D46" s="8">
        <v>935</v>
      </c>
      <c r="E46" s="8">
        <v>243</v>
      </c>
      <c r="F46" s="7">
        <f t="shared" si="6"/>
        <v>801245</v>
      </c>
      <c r="G46" s="7">
        <f t="shared" si="7"/>
        <v>2071575</v>
      </c>
      <c r="H46" s="6">
        <f t="shared" si="8"/>
        <v>2.5854451509837815</v>
      </c>
      <c r="I46" s="5">
        <f t="shared" si="5"/>
        <v>2082.2987164527422</v>
      </c>
      <c r="J46" s="4">
        <f t="shared" si="9"/>
        <v>1482.2987164527422</v>
      </c>
      <c r="K46" s="3">
        <f t="shared" si="10"/>
        <v>2.3885702261852386</v>
      </c>
    </row>
    <row r="47" spans="1:11">
      <c r="A47" s="9">
        <v>550</v>
      </c>
      <c r="B47" s="10">
        <v>1200</v>
      </c>
      <c r="C47" s="9">
        <v>8525</v>
      </c>
      <c r="D47" s="8">
        <v>935</v>
      </c>
      <c r="E47" s="8">
        <v>244</v>
      </c>
      <c r="F47" s="7">
        <f t="shared" si="6"/>
        <v>858660</v>
      </c>
      <c r="G47" s="7">
        <f t="shared" si="7"/>
        <v>2080100</v>
      </c>
      <c r="H47" s="6">
        <f t="shared" si="8"/>
        <v>2.4224955162695361</v>
      </c>
      <c r="I47" s="5">
        <f t="shared" si="5"/>
        <v>1827.6569037656905</v>
      </c>
      <c r="J47" s="4">
        <f t="shared" si="9"/>
        <v>1277.6569037656905</v>
      </c>
      <c r="K47" s="3">
        <f t="shared" si="10"/>
        <v>2.2556824607033814</v>
      </c>
    </row>
    <row r="48" spans="1:11">
      <c r="A48" s="9">
        <v>500</v>
      </c>
      <c r="B48" s="10">
        <v>1310</v>
      </c>
      <c r="C48" s="9">
        <v>8525</v>
      </c>
      <c r="D48" s="8">
        <v>935</v>
      </c>
      <c r="E48" s="8">
        <v>245</v>
      </c>
      <c r="F48" s="7">
        <f t="shared" si="6"/>
        <v>915850</v>
      </c>
      <c r="G48" s="7">
        <f t="shared" si="7"/>
        <v>2088625</v>
      </c>
      <c r="H48" s="6">
        <f t="shared" si="8"/>
        <v>2.2805317464650323</v>
      </c>
      <c r="I48" s="5">
        <f t="shared" si="5"/>
        <v>1601.1971830985915</v>
      </c>
      <c r="J48" s="4">
        <f t="shared" si="9"/>
        <v>1101.1971830985915</v>
      </c>
      <c r="K48" s="3">
        <f t="shared" si="10"/>
        <v>2.1381883029442803</v>
      </c>
    </row>
    <row r="49" spans="1:11">
      <c r="A49" s="9">
        <v>530</v>
      </c>
      <c r="B49" s="10">
        <v>600</v>
      </c>
      <c r="C49" s="9">
        <v>8525</v>
      </c>
      <c r="D49" s="8">
        <v>935</v>
      </c>
      <c r="E49" s="8">
        <v>246</v>
      </c>
      <c r="F49" s="7">
        <f t="shared" si="6"/>
        <v>238110</v>
      </c>
      <c r="G49" s="7">
        <f t="shared" si="7"/>
        <v>2097150</v>
      </c>
      <c r="H49" s="6">
        <f t="shared" si="8"/>
        <v>8.8074839359959682</v>
      </c>
      <c r="I49" s="5">
        <f t="shared" si="5"/>
        <v>5781.5254237288136</v>
      </c>
      <c r="J49" s="4">
        <f t="shared" si="9"/>
        <v>5251.5254237288136</v>
      </c>
      <c r="K49" s="3">
        <f t="shared" si="10"/>
        <v>6.2646871415827707</v>
      </c>
    </row>
    <row r="50" spans="1:11">
      <c r="A50" s="9">
        <v>430</v>
      </c>
      <c r="B50" s="10">
        <v>700</v>
      </c>
      <c r="C50" s="9">
        <v>8525</v>
      </c>
      <c r="D50" s="8">
        <v>935</v>
      </c>
      <c r="E50" s="8">
        <v>247</v>
      </c>
      <c r="F50" s="7">
        <f t="shared" si="6"/>
        <v>291095</v>
      </c>
      <c r="G50" s="7">
        <f t="shared" si="7"/>
        <v>2105675</v>
      </c>
      <c r="H50" s="6">
        <f t="shared" si="8"/>
        <v>7.2336350675896188</v>
      </c>
      <c r="I50" s="5">
        <f t="shared" si="5"/>
        <v>4435.6953642384105</v>
      </c>
      <c r="J50" s="4">
        <f t="shared" si="9"/>
        <v>4005.6953642384105</v>
      </c>
      <c r="K50" s="3">
        <f t="shared" si="10"/>
        <v>5.4631703222712096</v>
      </c>
    </row>
    <row r="51" spans="1:11">
      <c r="A51" s="9">
        <v>380</v>
      </c>
      <c r="B51" s="10">
        <v>800</v>
      </c>
      <c r="C51" s="9">
        <v>8525</v>
      </c>
      <c r="D51" s="8">
        <v>935</v>
      </c>
      <c r="E51" s="8">
        <v>248</v>
      </c>
      <c r="F51" s="7">
        <f t="shared" si="6"/>
        <v>351880</v>
      </c>
      <c r="G51" s="7">
        <f t="shared" si="7"/>
        <v>2114200</v>
      </c>
      <c r="H51" s="6">
        <f t="shared" si="8"/>
        <v>6.0082982835057406</v>
      </c>
      <c r="I51" s="5">
        <f t="shared" si="5"/>
        <v>3572.608695652174</v>
      </c>
      <c r="J51" s="4">
        <f t="shared" si="9"/>
        <v>3192.608695652174</v>
      </c>
      <c r="K51" s="3">
        <f t="shared" si="10"/>
        <v>4.7670899063742462</v>
      </c>
    </row>
    <row r="52" spans="1:11">
      <c r="A52" s="9">
        <v>380</v>
      </c>
      <c r="B52" s="10">
        <v>900</v>
      </c>
      <c r="C52" s="9">
        <v>8525</v>
      </c>
      <c r="D52" s="8">
        <v>935</v>
      </c>
      <c r="E52" s="8">
        <v>249</v>
      </c>
      <c r="F52" s="7">
        <f t="shared" si="6"/>
        <v>435315</v>
      </c>
      <c r="G52" s="7">
        <f t="shared" si="7"/>
        <v>2122725</v>
      </c>
      <c r="H52" s="6">
        <f t="shared" si="8"/>
        <v>4.8762964749664039</v>
      </c>
      <c r="I52" s="5">
        <f t="shared" si="5"/>
        <v>2972.0276497695854</v>
      </c>
      <c r="J52" s="4">
        <f t="shared" si="9"/>
        <v>2592.0276497695854</v>
      </c>
      <c r="K52" s="3">
        <f t="shared" si="10"/>
        <v>4.0584397047428737</v>
      </c>
    </row>
    <row r="53" spans="1:11">
      <c r="A53" s="9">
        <v>330</v>
      </c>
      <c r="B53" s="10">
        <v>1000</v>
      </c>
      <c r="C53" s="9">
        <v>8525</v>
      </c>
      <c r="D53" s="8">
        <v>935</v>
      </c>
      <c r="E53" s="8">
        <v>250</v>
      </c>
      <c r="F53" s="7">
        <f t="shared" si="6"/>
        <v>481250</v>
      </c>
      <c r="G53" s="7">
        <f t="shared" si="7"/>
        <v>2131250</v>
      </c>
      <c r="H53" s="6">
        <f t="shared" si="8"/>
        <v>4.4285714285714288</v>
      </c>
      <c r="I53" s="5">
        <f t="shared" si="5"/>
        <v>2530</v>
      </c>
      <c r="J53" s="4">
        <f t="shared" si="9"/>
        <v>2200</v>
      </c>
      <c r="K53" s="3">
        <f t="shared" si="10"/>
        <v>3.7586206896551726</v>
      </c>
    </row>
    <row r="54" spans="1:11">
      <c r="A54" s="9">
        <v>330</v>
      </c>
      <c r="B54" s="10">
        <v>1100</v>
      </c>
      <c r="C54" s="9">
        <v>8525</v>
      </c>
      <c r="D54" s="8">
        <v>935</v>
      </c>
      <c r="E54" s="8">
        <v>251</v>
      </c>
      <c r="F54" s="7">
        <f t="shared" si="6"/>
        <v>559735</v>
      </c>
      <c r="G54" s="7">
        <f t="shared" si="7"/>
        <v>2139775</v>
      </c>
      <c r="H54" s="6">
        <f t="shared" si="8"/>
        <v>3.8228358062297336</v>
      </c>
      <c r="I54" s="5">
        <f t="shared" si="5"/>
        <v>2191.0600706713781</v>
      </c>
      <c r="J54" s="4">
        <f t="shared" si="9"/>
        <v>1861.0600706713781</v>
      </c>
      <c r="K54" s="3">
        <f t="shared" si="10"/>
        <v>3.3336176434750824</v>
      </c>
    </row>
    <row r="55" spans="1:11">
      <c r="A55" s="9">
        <v>280</v>
      </c>
      <c r="B55" s="10">
        <v>1200</v>
      </c>
      <c r="C55" s="9">
        <v>8525</v>
      </c>
      <c r="D55" s="8">
        <v>935</v>
      </c>
      <c r="E55" s="8">
        <v>252</v>
      </c>
      <c r="F55" s="7">
        <f t="shared" si="6"/>
        <v>590820</v>
      </c>
      <c r="G55" s="7">
        <f t="shared" si="7"/>
        <v>2148300</v>
      </c>
      <c r="H55" s="6">
        <f t="shared" si="8"/>
        <v>3.6361328323347211</v>
      </c>
      <c r="I55" s="5">
        <f t="shared" si="5"/>
        <v>1922.9113924050632</v>
      </c>
      <c r="J55" s="4">
        <f t="shared" si="9"/>
        <v>1642.9113924050632</v>
      </c>
      <c r="K55" s="3">
        <f t="shared" si="10"/>
        <v>3.1978747724482455</v>
      </c>
    </row>
    <row r="56" spans="1:11">
      <c r="A56" s="9">
        <v>280</v>
      </c>
      <c r="B56" s="10">
        <v>1300</v>
      </c>
      <c r="C56" s="9">
        <v>8525</v>
      </c>
      <c r="D56" s="8">
        <v>935</v>
      </c>
      <c r="E56" s="8">
        <v>253</v>
      </c>
      <c r="F56" s="7">
        <f t="shared" si="6"/>
        <v>664355</v>
      </c>
      <c r="G56" s="7">
        <f t="shared" si="7"/>
        <v>2156825</v>
      </c>
      <c r="H56" s="6">
        <f t="shared" si="8"/>
        <v>3.2464947204431365</v>
      </c>
      <c r="I56" s="5">
        <f t="shared" si="5"/>
        <v>1705.4727793696275</v>
      </c>
      <c r="J56" s="4">
        <f t="shared" si="9"/>
        <v>1425.4727793696275</v>
      </c>
      <c r="K56" s="3">
        <f t="shared" si="10"/>
        <v>2.9069869958122108</v>
      </c>
    </row>
    <row r="57" spans="1:11">
      <c r="A57" s="9">
        <v>250</v>
      </c>
      <c r="B57" s="10">
        <v>1400</v>
      </c>
      <c r="C57" s="9">
        <v>8525</v>
      </c>
      <c r="D57" s="8">
        <v>935</v>
      </c>
      <c r="E57" s="8">
        <v>254</v>
      </c>
      <c r="F57" s="7">
        <f t="shared" si="6"/>
        <v>703510</v>
      </c>
      <c r="G57" s="7">
        <f t="shared" si="7"/>
        <v>2165350</v>
      </c>
      <c r="H57" s="6">
        <f t="shared" si="8"/>
        <v>3.0779235547469117</v>
      </c>
      <c r="I57" s="5">
        <f t="shared" si="5"/>
        <v>1525.6020942408377</v>
      </c>
      <c r="J57" s="4">
        <f t="shared" si="9"/>
        <v>1275.6020942408377</v>
      </c>
      <c r="K57" s="3">
        <f t="shared" si="10"/>
        <v>2.7778426400569165</v>
      </c>
    </row>
    <row r="58" spans="1:11">
      <c r="A58" s="9">
        <v>230</v>
      </c>
      <c r="B58" s="10">
        <v>1550</v>
      </c>
      <c r="C58" s="9">
        <v>8525</v>
      </c>
      <c r="D58" s="8">
        <v>935</v>
      </c>
      <c r="E58" s="8">
        <v>255</v>
      </c>
      <c r="F58" s="7">
        <f t="shared" si="6"/>
        <v>784050</v>
      </c>
      <c r="G58" s="7">
        <f t="shared" si="7"/>
        <v>2173875</v>
      </c>
      <c r="H58" s="6">
        <f t="shared" si="8"/>
        <v>2.7726229194566674</v>
      </c>
      <c r="I58" s="5">
        <f t="shared" si="5"/>
        <v>1303.2239382239381</v>
      </c>
      <c r="J58" s="4">
        <f t="shared" si="9"/>
        <v>1073.2239382239381</v>
      </c>
      <c r="K58" s="3">
        <f t="shared" si="10"/>
        <v>2.5386723128658613</v>
      </c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scale="7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新式檢核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B210</dc:creator>
  <cp:lastModifiedBy>B210</cp:lastModifiedBy>
  <dcterms:created xsi:type="dcterms:W3CDTF">2018-03-23T03:51:18Z</dcterms:created>
  <dcterms:modified xsi:type="dcterms:W3CDTF">2019-02-26T02:57:52Z</dcterms:modified>
</cp:coreProperties>
</file>